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lim\Dropbox\proyectos_eplimin\Proyecto_Revisiones_Tecnicas\Simulation\"/>
    </mc:Choice>
  </mc:AlternateContent>
  <xr:revisionPtr revIDLastSave="0" documentId="13_ncr:1_{4806D4F0-A5A9-4B45-93BA-CFAD3837563A}" xr6:coauthVersionLast="47" xr6:coauthVersionMax="47" xr10:uidLastSave="{00000000-0000-0000-0000-000000000000}"/>
  <bookViews>
    <workbookView xWindow="-108" yWindow="-108" windowWidth="23256" windowHeight="12456" xr2:uid="{865336DA-689B-4D4F-AE77-CD0639C8600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10" i="2" s="1"/>
  <c r="D6" i="2"/>
  <c r="D10" i="2" s="1"/>
  <c r="D11" i="2" s="1"/>
  <c r="C6" i="2"/>
  <c r="C10" i="2" s="1"/>
  <c r="C12" i="2" l="1"/>
  <c r="C11" i="2"/>
  <c r="E11" i="2"/>
  <c r="E12" i="2"/>
  <c r="D12" i="2"/>
</calcChain>
</file>

<file path=xl/sharedStrings.xml><?xml version="1.0" encoding="utf-8"?>
<sst xmlns="http://schemas.openxmlformats.org/spreadsheetml/2006/main" count="10" uniqueCount="10">
  <si>
    <t>Histeresis</t>
  </si>
  <si>
    <t>Vref</t>
  </si>
  <si>
    <t>Vth</t>
  </si>
  <si>
    <t>Vtl</t>
  </si>
  <si>
    <t>hys</t>
  </si>
  <si>
    <t>Voh</t>
  </si>
  <si>
    <t>Vol</t>
  </si>
  <si>
    <t>R4</t>
  </si>
  <si>
    <t>R3(Kohm)</t>
  </si>
  <si>
    <t>https://www.analog.com/en/resources/analog-dialogue/articles/curing-comparator-instability-with-hysteresis.html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</si>
</sst>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252237</xdr:colOff>
      <xdr:row>28</xdr:row>
      <xdr:rowOff>168051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06FB94-A515-E729-790C-0FBCF930A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548640"/>
          <a:ext cx="8969517" cy="4740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nalog.com/en/resources/analog-dialogue/articles/curing-comparator-instability-with-hysteresi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5F3A-A7F9-47CB-8DF5-98BE0BA1E2FC}">
  <dimension ref="B2:B31"/>
  <sheetViews>
    <sheetView tabSelected="1" topLeftCell="A13" workbookViewId="0">
      <selection activeCell="B32" sqref="B32"/>
    </sheetView>
  </sheetViews>
  <sheetFormatPr baseColWidth="10" defaultRowHeight="14.4" x14ac:dyDescent="0.3"/>
  <sheetData>
    <row r="2" spans="2:2" x14ac:dyDescent="0.3">
      <c r="B2" t="s">
        <v>0</v>
      </c>
    </row>
    <row r="31" spans="2:2" x14ac:dyDescent="0.3">
      <c r="B31" s="1" t="s">
        <v>9</v>
      </c>
    </row>
  </sheetData>
  <hyperlinks>
    <hyperlink ref="B31" r:id="rId1" xr:uid="{A3D1E2B9-73FE-4F4E-A120-8DF8789C793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D8CD-2095-42CE-B203-5965E812F740}">
  <dimension ref="B4:E12"/>
  <sheetViews>
    <sheetView workbookViewId="0">
      <selection activeCell="C18" sqref="C18"/>
    </sheetView>
  </sheetViews>
  <sheetFormatPr baseColWidth="10" defaultRowHeight="14.4" x14ac:dyDescent="0.3"/>
  <sheetData>
    <row r="4" spans="2:5" x14ac:dyDescent="0.3">
      <c r="B4" t="s">
        <v>2</v>
      </c>
      <c r="C4">
        <v>1</v>
      </c>
      <c r="D4">
        <v>1.5</v>
      </c>
      <c r="E4">
        <v>3</v>
      </c>
    </row>
    <row r="5" spans="2:5" x14ac:dyDescent="0.3">
      <c r="B5" t="s">
        <v>3</v>
      </c>
      <c r="C5">
        <v>0.9</v>
      </c>
      <c r="D5">
        <v>0.5</v>
      </c>
      <c r="E5">
        <v>1</v>
      </c>
    </row>
    <row r="6" spans="2:5" x14ac:dyDescent="0.3">
      <c r="B6" t="s">
        <v>4</v>
      </c>
      <c r="C6">
        <f>C4-C5</f>
        <v>9.9999999999999978E-2</v>
      </c>
      <c r="D6">
        <f>D4-D5</f>
        <v>1</v>
      </c>
      <c r="E6">
        <f>E4-E5</f>
        <v>2</v>
      </c>
    </row>
    <row r="7" spans="2:5" x14ac:dyDescent="0.3">
      <c r="B7" t="s">
        <v>8</v>
      </c>
      <c r="C7">
        <v>160</v>
      </c>
      <c r="D7">
        <v>160</v>
      </c>
      <c r="E7">
        <v>160</v>
      </c>
    </row>
    <row r="8" spans="2:5" x14ac:dyDescent="0.3">
      <c r="B8" t="s">
        <v>5</v>
      </c>
      <c r="C8">
        <v>5</v>
      </c>
      <c r="D8">
        <v>5</v>
      </c>
      <c r="E8">
        <v>5</v>
      </c>
    </row>
    <row r="9" spans="2:5" x14ac:dyDescent="0.3">
      <c r="B9" t="s">
        <v>6</v>
      </c>
      <c r="C9">
        <v>0</v>
      </c>
      <c r="D9">
        <v>0</v>
      </c>
      <c r="E9">
        <v>0</v>
      </c>
    </row>
    <row r="10" spans="2:5" x14ac:dyDescent="0.3">
      <c r="B10" t="s">
        <v>7</v>
      </c>
      <c r="C10">
        <f>C7*(C8-C9)/C6</f>
        <v>8000.0000000000018</v>
      </c>
      <c r="D10">
        <f>D7*(D8-D9)/D6</f>
        <v>800</v>
      </c>
      <c r="E10">
        <f>E7*(E8-E9)/E6</f>
        <v>400</v>
      </c>
    </row>
    <row r="11" spans="2:5" x14ac:dyDescent="0.3">
      <c r="B11" t="s">
        <v>1</v>
      </c>
      <c r="C11">
        <f>(C10*C4+C7*C9)/(C10+C7)</f>
        <v>0.98039215686274506</v>
      </c>
      <c r="D11">
        <f>(D10*D4+D7*D9)/(D10+D7)</f>
        <v>1.25</v>
      </c>
      <c r="E11">
        <f>(E10*E4+E7*E9)/(E10+E7)</f>
        <v>2.1428571428571428</v>
      </c>
    </row>
    <row r="12" spans="2:5" x14ac:dyDescent="0.3">
      <c r="C12">
        <f>(C10*C4+C7*C8)/(C10+C7)</f>
        <v>1.0784313725490196</v>
      </c>
      <c r="D12">
        <f>(D10*D4+D7*D8)/(D10+D7)</f>
        <v>2.0833333333333335</v>
      </c>
      <c r="E12">
        <f>(E10*E4+E7*E8)/(E10+E7)</f>
        <v>3.5714285714285716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LUIS MATEO HUAPAYA</dc:creator>
  <cp:lastModifiedBy>ALUMNO - LUIS MATEO HUAPAYA</cp:lastModifiedBy>
  <dcterms:created xsi:type="dcterms:W3CDTF">2025-11-17T14:41:17Z</dcterms:created>
  <dcterms:modified xsi:type="dcterms:W3CDTF">2025-11-17T15:45:00Z</dcterms:modified>
</cp:coreProperties>
</file>