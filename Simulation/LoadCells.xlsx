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eplim\Dropbox\proyectos_eplimin\Proyecto_Revisiones_Tecnicas\PCB\Placa_Control_M2ES\Simulation\"/>
    </mc:Choice>
  </mc:AlternateContent>
  <xr:revisionPtr revIDLastSave="0" documentId="13_ncr:1_{1CAF024C-B901-48BB-9AF0-0ED9CFA0A2BB}" xr6:coauthVersionLast="47" xr6:coauthVersionMax="47" xr10:uidLastSave="{00000000-0000-0000-0000-000000000000}"/>
  <bookViews>
    <workbookView xWindow="-96" yWindow="0" windowWidth="11712" windowHeight="12336" activeTab="1" xr2:uid="{00000000-000D-0000-FFFF-FFFF00000000}"/>
  </bookViews>
  <sheets>
    <sheet name="Hoja1" sheetId="1" r:id="rId1"/>
    <sheet name="Hoja3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0" i="3" l="1"/>
  <c r="B11" i="3" s="1"/>
  <c r="B9" i="3"/>
  <c r="B15" i="1"/>
  <c r="B43" i="1"/>
  <c r="B28" i="1"/>
  <c r="B42" i="1" s="1"/>
  <c r="B44" i="1" s="1"/>
  <c r="B45" i="1" s="1"/>
  <c r="B46" i="1" s="1"/>
  <c r="B29" i="1" s="1"/>
  <c r="B30" i="1" s="1"/>
  <c r="A32" i="1" l="1"/>
  <c r="B12" i="1" l="1"/>
  <c r="B14" i="1" s="1"/>
  <c r="A17" i="1" s="1"/>
  <c r="B13" i="1"/>
</calcChain>
</file>

<file path=xl/sharedStrings.xml><?xml version="1.0" encoding="utf-8"?>
<sst xmlns="http://schemas.openxmlformats.org/spreadsheetml/2006/main" count="61" uniqueCount="40">
  <si>
    <t>V supply</t>
  </si>
  <si>
    <t>R1</t>
  </si>
  <si>
    <t>R2</t>
  </si>
  <si>
    <t>R4</t>
  </si>
  <si>
    <t>R5</t>
  </si>
  <si>
    <t>V +</t>
  </si>
  <si>
    <t>V -</t>
  </si>
  <si>
    <t>(V+) - (V-)</t>
  </si>
  <si>
    <t>V</t>
  </si>
  <si>
    <t>ohm</t>
  </si>
  <si>
    <t>Unidades</t>
  </si>
  <si>
    <t>Valor</t>
  </si>
  <si>
    <t>Medida</t>
  </si>
  <si>
    <t>Resultado</t>
  </si>
  <si>
    <t>Entrada</t>
  </si>
  <si>
    <t>Rth</t>
  </si>
  <si>
    <t>Calculos por Cambio de Resistencia</t>
  </si>
  <si>
    <t>Calculos por Cambio de Peso</t>
  </si>
  <si>
    <t>mV/V</t>
  </si>
  <si>
    <t>Sensibilidad</t>
  </si>
  <si>
    <t>Peso max</t>
  </si>
  <si>
    <t>Kg</t>
  </si>
  <si>
    <t>Peso actual</t>
  </si>
  <si>
    <t>mV</t>
  </si>
  <si>
    <t>a</t>
  </si>
  <si>
    <t>b</t>
  </si>
  <si>
    <t>c</t>
  </si>
  <si>
    <t>d</t>
  </si>
  <si>
    <t>R</t>
  </si>
  <si>
    <t>Calculos internos</t>
  </si>
  <si>
    <t>New R5</t>
  </si>
  <si>
    <t>Calculos para varias celdas</t>
  </si>
  <si>
    <t>Celda1</t>
  </si>
  <si>
    <t>Celda2</t>
  </si>
  <si>
    <t>Vth</t>
  </si>
  <si>
    <t>New Rth</t>
  </si>
  <si>
    <t>Sum Rth inv</t>
  </si>
  <si>
    <t>Sum Volt</t>
  </si>
  <si>
    <t>Volt total</t>
  </si>
  <si>
    <t>After filter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</si>
</sst>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Fill="1" applyBorder="1"/>
    <xf numFmtId="0" fontId="0" fillId="0" borderId="1" xfId="0" applyFill="1" applyBorder="1"/>
    <xf numFmtId="0" fontId="1" fillId="0" borderId="0" xfId="0" applyFont="1"/>
    <xf numFmtId="0" fontId="0" fillId="2" borderId="1" xfId="0" applyFill="1" applyBorder="1"/>
    <xf numFmtId="0" fontId="0" fillId="3" borderId="1" xfId="0" applyFill="1" applyBorder="1"/>
    <xf numFmtId="164" fontId="0" fillId="3" borderId="1" xfId="0" applyNumberFormat="1" applyFill="1" applyBorder="1"/>
    <xf numFmtId="0" fontId="0" fillId="0" borderId="0" xfId="0" applyFill="1" applyBorder="1"/>
    <xf numFmtId="0" fontId="0" fillId="4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266701</xdr:colOff>
      <xdr:row>7</xdr:row>
      <xdr:rowOff>45720</xdr:rowOff>
    </xdr:from>
    <xdr:to>
      <xdr:col>17</xdr:col>
      <xdr:colOff>402416</xdr:colOff>
      <xdr:row>24</xdr:row>
      <xdr:rowOff>180088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B41DF67-801E-9797-4226-2109D40B3E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66021" y="1325880"/>
          <a:ext cx="1354915" cy="32433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L46"/>
  <sheetViews>
    <sheetView topLeftCell="A4" zoomScale="85" zoomScaleNormal="85" workbookViewId="0">
      <selection activeCell="A27" sqref="A27:C27"/>
    </sheetView>
  </sheetViews>
  <sheetFormatPr baseColWidth="10" defaultColWidth="8.88671875" defaultRowHeight="14.4" x14ac:dyDescent="0.3"/>
  <cols>
    <col min="1" max="1" width="12.33203125" customWidth="1"/>
    <col min="2" max="2" width="15.109375" customWidth="1"/>
    <col min="3" max="3" width="12.33203125" customWidth="1"/>
  </cols>
  <sheetData>
    <row r="3" spans="1:12" x14ac:dyDescent="0.3">
      <c r="A3" s="3" t="s">
        <v>16</v>
      </c>
      <c r="B3" s="3"/>
      <c r="C3" s="3"/>
    </row>
    <row r="4" spans="1:12" x14ac:dyDescent="0.3">
      <c r="A4" s="2" t="s">
        <v>12</v>
      </c>
      <c r="B4" s="2" t="s">
        <v>11</v>
      </c>
      <c r="C4" s="2" t="s">
        <v>10</v>
      </c>
    </row>
    <row r="5" spans="1:12" x14ac:dyDescent="0.3">
      <c r="A5" s="4" t="s">
        <v>14</v>
      </c>
      <c r="B5" s="5"/>
      <c r="C5" s="6"/>
    </row>
    <row r="6" spans="1:12" x14ac:dyDescent="0.3">
      <c r="A6" s="1" t="s">
        <v>0</v>
      </c>
      <c r="B6" s="1">
        <v>10</v>
      </c>
      <c r="C6" s="1" t="s">
        <v>8</v>
      </c>
    </row>
    <row r="7" spans="1:12" x14ac:dyDescent="0.3">
      <c r="A7" s="1" t="s">
        <v>1</v>
      </c>
      <c r="B7" s="1">
        <v>350</v>
      </c>
      <c r="C7" s="1" t="s">
        <v>9</v>
      </c>
    </row>
    <row r="8" spans="1:12" x14ac:dyDescent="0.3">
      <c r="A8" s="1" t="s">
        <v>2</v>
      </c>
      <c r="B8" s="1">
        <v>350</v>
      </c>
      <c r="C8" s="1" t="s">
        <v>9</v>
      </c>
    </row>
    <row r="9" spans="1:12" x14ac:dyDescent="0.3">
      <c r="A9" s="1" t="s">
        <v>3</v>
      </c>
      <c r="B9" s="1">
        <v>350</v>
      </c>
      <c r="C9" s="1" t="s">
        <v>9</v>
      </c>
    </row>
    <row r="10" spans="1:12" x14ac:dyDescent="0.3">
      <c r="A10" s="1" t="s">
        <v>4</v>
      </c>
      <c r="B10" s="10">
        <v>350.46690000000001</v>
      </c>
      <c r="C10" s="1" t="s">
        <v>9</v>
      </c>
    </row>
    <row r="11" spans="1:12" x14ac:dyDescent="0.3">
      <c r="A11" s="3" t="s">
        <v>13</v>
      </c>
      <c r="B11" s="3"/>
      <c r="C11" s="3"/>
    </row>
    <row r="12" spans="1:12" x14ac:dyDescent="0.3">
      <c r="A12" s="1" t="s">
        <v>5</v>
      </c>
      <c r="B12" s="11">
        <f>B10*B6/(B10+B8)</f>
        <v>5.0033327770377154</v>
      </c>
      <c r="C12" s="1" t="s">
        <v>8</v>
      </c>
    </row>
    <row r="13" spans="1:12" x14ac:dyDescent="0.3">
      <c r="A13" s="1" t="s">
        <v>6</v>
      </c>
      <c r="B13" s="11">
        <f>B6*B9/(B7+B9)</f>
        <v>5</v>
      </c>
      <c r="C13" s="1" t="s">
        <v>8</v>
      </c>
      <c r="L13" s="9"/>
    </row>
    <row r="14" spans="1:12" x14ac:dyDescent="0.3">
      <c r="A14" s="1" t="s">
        <v>7</v>
      </c>
      <c r="B14" s="11">
        <f>(B12-B13)*1000</f>
        <v>3.3327770377153954</v>
      </c>
      <c r="C14" s="1" t="s">
        <v>8</v>
      </c>
    </row>
    <row r="15" spans="1:12" x14ac:dyDescent="0.3">
      <c r="A15" s="8" t="s">
        <v>15</v>
      </c>
      <c r="B15" s="11">
        <f>((B7)/2)+((B8*B10)/(B8+B10))</f>
        <v>350.11664719632006</v>
      </c>
      <c r="C15" s="8" t="s">
        <v>9</v>
      </c>
    </row>
    <row r="16" spans="1:12" x14ac:dyDescent="0.3">
      <c r="B16" s="14"/>
      <c r="C16" s="13"/>
    </row>
    <row r="17" spans="1:3" x14ac:dyDescent="0.3">
      <c r="A17" s="7" t="str">
        <f>_xlfn.CONCAT("En conclusión: Para una resistencia de ",B10," ohm"," se obtiene un voltaje de ",B14*1000," mV"," y una resistencia de Thevenin de ",B15," ohm" )</f>
        <v>En conclusión: Para una resistencia de 350.4669 ohm se obtiene un voltaje de 3332.7770377154 mV y una resistencia de Thevenin de 350.11664719632 ohm</v>
      </c>
      <c r="B17" s="14"/>
      <c r="C17" s="13"/>
    </row>
    <row r="20" spans="1:3" x14ac:dyDescent="0.3">
      <c r="A20" s="3" t="s">
        <v>17</v>
      </c>
      <c r="B20" s="3"/>
      <c r="C20" s="3"/>
    </row>
    <row r="21" spans="1:3" x14ac:dyDescent="0.3">
      <c r="A21" s="2" t="s">
        <v>12</v>
      </c>
      <c r="B21" s="2" t="s">
        <v>11</v>
      </c>
      <c r="C21" s="2" t="s">
        <v>10</v>
      </c>
    </row>
    <row r="22" spans="1:3" x14ac:dyDescent="0.3">
      <c r="A22" s="4" t="s">
        <v>14</v>
      </c>
      <c r="B22" s="5"/>
      <c r="C22" s="6"/>
    </row>
    <row r="23" spans="1:3" x14ac:dyDescent="0.3">
      <c r="A23" s="1" t="s">
        <v>0</v>
      </c>
      <c r="B23" s="1">
        <v>10</v>
      </c>
      <c r="C23" s="1" t="s">
        <v>8</v>
      </c>
    </row>
    <row r="24" spans="1:3" x14ac:dyDescent="0.3">
      <c r="A24" s="8" t="s">
        <v>19</v>
      </c>
      <c r="B24" s="8">
        <v>2</v>
      </c>
      <c r="C24" s="8" t="s">
        <v>18</v>
      </c>
    </row>
    <row r="25" spans="1:3" ht="15" customHeight="1" x14ac:dyDescent="0.3">
      <c r="A25" s="8" t="s">
        <v>20</v>
      </c>
      <c r="B25" s="8">
        <v>3000</v>
      </c>
      <c r="C25" s="8" t="s">
        <v>21</v>
      </c>
    </row>
    <row r="26" spans="1:3" ht="15" customHeight="1" x14ac:dyDescent="0.3">
      <c r="A26" s="8" t="s">
        <v>22</v>
      </c>
      <c r="B26" s="10">
        <v>3000</v>
      </c>
      <c r="C26" s="8" t="s">
        <v>21</v>
      </c>
    </row>
    <row r="27" spans="1:3" x14ac:dyDescent="0.3">
      <c r="A27" s="3" t="s">
        <v>13</v>
      </c>
      <c r="B27" s="3"/>
      <c r="C27" s="3"/>
    </row>
    <row r="28" spans="1:3" x14ac:dyDescent="0.3">
      <c r="A28" s="1" t="s">
        <v>7</v>
      </c>
      <c r="B28" s="11">
        <f>((B24*B23)/B25)*B26</f>
        <v>20</v>
      </c>
      <c r="C28" s="1" t="s">
        <v>23</v>
      </c>
    </row>
    <row r="29" spans="1:3" x14ac:dyDescent="0.3">
      <c r="A29" s="8" t="s">
        <v>30</v>
      </c>
      <c r="B29" s="12">
        <f>B46</f>
        <v>352.81124497991965</v>
      </c>
      <c r="C29" s="1" t="s">
        <v>9</v>
      </c>
    </row>
    <row r="30" spans="1:3" x14ac:dyDescent="0.3">
      <c r="A30" s="8" t="s">
        <v>35</v>
      </c>
      <c r="B30" s="12">
        <f>((B7)/2)+((B8*B29)/(B8+B29))</f>
        <v>350.70000000000005</v>
      </c>
      <c r="C30" s="1" t="s">
        <v>9</v>
      </c>
    </row>
    <row r="32" spans="1:3" x14ac:dyDescent="0.3">
      <c r="A32" s="7" t="str">
        <f>_xlfn.CONCAT("En conclusión: Para un peso de ",B26," Kg"," se obtiene un voltaje de ",B28*1000," mV"," y una resistencia R5 de ",B29," ohm" )</f>
        <v>En conclusión: Para un peso de 3000 Kg se obtiene un voltaje de 20000 mV y una resistencia R5 de 352.81124497992 ohm</v>
      </c>
    </row>
    <row r="41" spans="1:4" x14ac:dyDescent="0.3">
      <c r="A41" s="3" t="s">
        <v>29</v>
      </c>
      <c r="B41" s="3"/>
      <c r="D41" s="9"/>
    </row>
    <row r="42" spans="1:4" x14ac:dyDescent="0.3">
      <c r="A42" s="1" t="s">
        <v>24</v>
      </c>
      <c r="B42" s="1">
        <f>B28*0.001/B23</f>
        <v>2E-3</v>
      </c>
    </row>
    <row r="43" spans="1:4" x14ac:dyDescent="0.3">
      <c r="A43" s="1" t="s">
        <v>25</v>
      </c>
      <c r="B43" s="1">
        <f>B9/(B9+B7)</f>
        <v>0.5</v>
      </c>
    </row>
    <row r="44" spans="1:4" x14ac:dyDescent="0.3">
      <c r="A44" s="1" t="s">
        <v>26</v>
      </c>
      <c r="B44" s="1">
        <f>1/(B42+B43)</f>
        <v>1.9920318725099602</v>
      </c>
    </row>
    <row r="45" spans="1:4" x14ac:dyDescent="0.3">
      <c r="A45" s="1" t="s">
        <v>27</v>
      </c>
      <c r="B45" s="1">
        <f>B44-1</f>
        <v>0.99203187250996017</v>
      </c>
    </row>
    <row r="46" spans="1:4" x14ac:dyDescent="0.3">
      <c r="A46" s="1" t="s">
        <v>28</v>
      </c>
      <c r="B46" s="1">
        <f>B8/B45</f>
        <v>352.81124497991965</v>
      </c>
    </row>
  </sheetData>
  <mergeCells count="7">
    <mergeCell ref="A41:B41"/>
    <mergeCell ref="A11:C11"/>
    <mergeCell ref="A5:C5"/>
    <mergeCell ref="A3:C3"/>
    <mergeCell ref="A20:C20"/>
    <mergeCell ref="A22:C22"/>
    <mergeCell ref="A27:C27"/>
  </mergeCells>
  <pageMargins left="0.7" right="0.7" top="0.75" bottom="0.75" header="0.3" footer="0.3"/>
  <pageSetup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609C1-0C15-411D-A617-971D25042B95}">
  <dimension ref="A2:D12"/>
  <sheetViews>
    <sheetView tabSelected="1" workbookViewId="0">
      <selection activeCell="D11" sqref="D11"/>
    </sheetView>
  </sheetViews>
  <sheetFormatPr baseColWidth="10" defaultRowHeight="14.4" x14ac:dyDescent="0.3"/>
  <sheetData>
    <row r="2" spans="1:4" x14ac:dyDescent="0.3">
      <c r="A2" t="s">
        <v>31</v>
      </c>
    </row>
    <row r="4" spans="1:4" x14ac:dyDescent="0.3">
      <c r="B4" t="s">
        <v>21</v>
      </c>
      <c r="C4" t="s">
        <v>15</v>
      </c>
      <c r="D4" t="s">
        <v>34</v>
      </c>
    </row>
    <row r="5" spans="1:4" x14ac:dyDescent="0.3">
      <c r="A5" t="s">
        <v>32</v>
      </c>
      <c r="B5">
        <v>1000</v>
      </c>
      <c r="C5">
        <v>350.7</v>
      </c>
      <c r="D5">
        <v>20</v>
      </c>
    </row>
    <row r="6" spans="1:4" x14ac:dyDescent="0.3">
      <c r="A6" t="s">
        <v>33</v>
      </c>
      <c r="B6">
        <v>500</v>
      </c>
      <c r="C6">
        <v>350.7</v>
      </c>
      <c r="D6">
        <v>20</v>
      </c>
    </row>
    <row r="9" spans="1:4" x14ac:dyDescent="0.3">
      <c r="A9" t="s">
        <v>36</v>
      </c>
      <c r="B9">
        <f>(1/C5)+(1/C6)</f>
        <v>5.7028799543769604E-3</v>
      </c>
    </row>
    <row r="10" spans="1:4" x14ac:dyDescent="0.3">
      <c r="A10" t="s">
        <v>37</v>
      </c>
      <c r="B10">
        <f>(D5/C5)+(D6/C6)</f>
        <v>0.11405759908753921</v>
      </c>
    </row>
    <row r="11" spans="1:4" x14ac:dyDescent="0.3">
      <c r="A11" t="s">
        <v>38</v>
      </c>
      <c r="B11">
        <f>B10/B9</f>
        <v>20</v>
      </c>
      <c r="C11" t="s">
        <v>23</v>
      </c>
    </row>
    <row r="12" spans="1:4" ht="13.2" customHeight="1" x14ac:dyDescent="0.3">
      <c r="A12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eplimin2012@outlook.com</cp:lastModifiedBy>
  <dcterms:created xsi:type="dcterms:W3CDTF">2015-06-05T18:19:34Z</dcterms:created>
  <dcterms:modified xsi:type="dcterms:W3CDTF">2025-11-18T20:19:54Z</dcterms:modified>
</cp:coreProperties>
</file>